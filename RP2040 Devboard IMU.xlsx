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<sst xmlns="http://schemas.openxmlformats.org/spreadsheetml/2006/main" count="67" uniqueCount="67">
  <si>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>Part</t>
  </si>
  <si>
    <t>Notes</t>
  </si>
  <si>
    <t>Link</t>
  </si>
  <si>
    <t>Quantity</t>
  </si>
  <si>
    <t>Price Per</t>
  </si>
  <si>
    <t>Total</t>
  </si>
  <si>
    <t>SC0914(13)</t>
  </si>
  <si>
    <t>RP2040 MCU</t>
  </si>
  <si>
    <t>https://www.digikey.ca/short/q2dff4nt</t>
  </si>
  <si>
    <t>W25Q16JVZPIQ TR</t>
  </si>
  <si>
    <t>16 Mbit</t>
  </si>
  <si>
    <t>https://www.digikey.ca/short/8r94jqwh</t>
  </si>
  <si>
    <t>BMI323</t>
  </si>
  <si>
    <t>6 Axis</t>
  </si>
  <si>
    <t>https://www.digikey.ca/short/2492bw8v</t>
  </si>
  <si>
    <t>12 Mhz</t>
  </si>
  <si>
    <t>https://www.digikey.ca/short/fd9mfhqf</t>
  </si>
  <si>
    <t>USB4105-GF-A-120</t>
  </si>
  <si>
    <t>USB-C Receptacle</t>
  </si>
  <si>
    <t>https://www.digikey.ca/short/v23r8qfb</t>
  </si>
  <si>
    <t>PH1-19-UA</t>
  </si>
  <si>
    <t>19 Pin Male Headers</t>
  </si>
  <si>
    <t>https://www.digikey.ca/short/fh214w20</t>
  </si>
  <si>
    <t>3 Pin Male Headers</t>
  </si>
  <si>
    <t>https://www.digikey.ca/short/1tz5pv83</t>
  </si>
  <si>
    <t>C0402C104K4RAC7411</t>
  </si>
  <si>
    <t>0.1uf 0402 Capacitor</t>
  </si>
  <si>
    <t>https://www.digikey.ca/short/5cj4qq82</t>
  </si>
  <si>
    <t>GRT155R61E105KE01D</t>
  </si>
  <si>
    <t>1uf 0402 Capacitor</t>
  </si>
  <si>
    <t>https://www.digikey.ca/short/b3qwttt7</t>
  </si>
  <si>
    <t>CL10A106MA8NRNC</t>
  </si>
  <si>
    <t>10uf 0603 Capacitor</t>
  </si>
  <si>
    <t>https://www.digikey.ca/short/28rz0qvv</t>
  </si>
  <si>
    <t>C0402C120J5GACTU</t>
  </si>
  <si>
    <t>12pf 0402 Capacitor</t>
  </si>
  <si>
    <t>https://www.digikey.ca/short/4mzbf5rd</t>
  </si>
  <si>
    <t>RC0402JR-075K1L</t>
  </si>
  <si>
    <t>5.1k 0402 Resistor</t>
  </si>
  <si>
    <t>https://www.digikey.ca/short/2ww07hnm</t>
  </si>
  <si>
    <t>RC0402JR-1310KL</t>
  </si>
  <si>
    <t>10k 0402 Resistor</t>
  </si>
  <si>
    <t>https://www.digikey.ca/short/npzj902q</t>
  </si>
  <si>
    <t>RC0402JR-074K7P</t>
  </si>
  <si>
    <t>4.7k 0402 Resistor</t>
  </si>
  <si>
    <t>https://www.digikey.ca/short/83b82rmh</t>
  </si>
  <si>
    <t>RC0402JR-071KP</t>
  </si>
  <si>
    <t>1k 0402 Resistor</t>
  </si>
  <si>
    <t>https://www.digikey.ca/en/products/detail/yageo/RC0402JR-071KP/4935299?gclsrc=aw.ds&amp;gad_source=1&amp;gad_campaignid=17336435733&amp;gbraid=0AAAAADrbLljxe9E9_nkTDyKGSKwB0OKfj&amp;gclid=Cj0KCQjw2t3VBhD8ARIsAK0F6qzr7tW8tc0zZY0TtiC5Rv6-CKQSQmQvsvr6I_VMm315pclc_DIKu04aAikeEALw_wcB</t>
  </si>
  <si>
    <t>RC0402FR-07270RL</t>
  </si>
  <si>
    <t>270 0402 Resistor</t>
  </si>
  <si>
    <t>https://www.digikey.ca/short/9w7j8rzp</t>
  </si>
  <si>
    <t>CRG0402F27R</t>
  </si>
  <si>
    <t>27 0402 Resistor</t>
  </si>
  <si>
    <t>https://www.digikey.ca/short/2hpmh15d</t>
  </si>
  <si>
    <t>LTST-T180UWET</t>
  </si>
  <si>
    <t>0603 White LED</t>
  </si>
  <si>
    <t>https://www.digikey.ca/short/f3bf70m5</t>
  </si>
  <si>
    <t>B3U-1000P</t>
  </si>
  <si>
    <t>Boot Button</t>
  </si>
  <si>
    <t>https://www.digikey.ca/short/qbbj23fh</t>
  </si>
  <si>
    <t>PCB</t>
  </si>
  <si>
    <t>Comes with 5</t>
  </si>
  <si>
    <t>Sub Total:</t>
  </si>
  <si>
    <t>Total With Tax:</t>
  </si>
  <si>
    <t>Shipping: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</si>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</sst>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5" displayName="Table1" name="Table1" id="1">
  <tableColumns count="6">
    <tableColumn name="Part" id="1"/>
    <tableColumn name="Notes" id="2"/>
    <tableColumn name="Link" id="3"/>
    <tableColumn name="Quantity" id="4"/>
    <tableColumn name="Price Per" id="5"/>
    <tableColumn name="Tot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digikey.ca/short/4mzbf5rd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digikey.ca/short/phtq4pzb" TargetMode="External"/><Relationship Id="rId13" Type="http://schemas.openxmlformats.org/officeDocument/2006/relationships/hyperlink" Target="https://www.digikey.ca/short/npzj902q" TargetMode="External"/><Relationship Id="rId12" Type="http://schemas.openxmlformats.org/officeDocument/2006/relationships/hyperlink" Target="https://www.digikey.ca/short/2ww07hnm" TargetMode="External"/><Relationship Id="rId1" Type="http://schemas.openxmlformats.org/officeDocument/2006/relationships/hyperlink" Target="https://www.digikey.ca/short/q2dff4nt" TargetMode="External"/><Relationship Id="rId2" Type="http://schemas.openxmlformats.org/officeDocument/2006/relationships/hyperlink" Target="https://www.digikey.ca/en/products/detail/winbond-electronics/W25Q16JVZPIQ-TR/6193781?s=N4IgTCBcDaIO5gKwEcCMA2AVgNwF4AcBLZAFwCcQBdAXyA" TargetMode="External"/><Relationship Id="rId3" Type="http://schemas.openxmlformats.org/officeDocument/2006/relationships/hyperlink" Target="https://www.digikey.ca/short/2492bw8v" TargetMode="External"/><Relationship Id="rId4" Type="http://schemas.openxmlformats.org/officeDocument/2006/relationships/hyperlink" Target="https://www.digikey.ca/en/products/detail/w%C3%BCrth-elektronik/830108206909/13900156?s=N4IgTCBcDaIBwGYAMBGJcxIGwE4k5AF0BfIA" TargetMode="External"/><Relationship Id="rId9" Type="http://schemas.openxmlformats.org/officeDocument/2006/relationships/hyperlink" Target="https://www.digikey.ca/short/b3qwttt7" TargetMode="External"/><Relationship Id="rId15" Type="http://schemas.openxmlformats.org/officeDocument/2006/relationships/hyperlink" Target="https://www.digikey.ca/en/products/detail/yageo/RC0402JR-071KP/4935299?gclsrc=aw.ds&amp;gad_source=1&amp;gad_campaignid=17336435733&amp;gbraid=0AAAAADrbLljxe9E9_nkTDyKGSKwB0OKfj&amp;gclid=Cj0KCQjw2t3VBhD8ARIsAK0F6qzr7tW8tc0zZY0TtiC5Rv6-CKQSQmQvsvr6I_VMm315pclc_DIKu04aAikeEALw_wcB" TargetMode="External"/><Relationship Id="rId14" Type="http://schemas.openxmlformats.org/officeDocument/2006/relationships/hyperlink" Target="https://www.digikey.ca/short/83b82rmh" TargetMode="External"/><Relationship Id="rId17" Type="http://schemas.openxmlformats.org/officeDocument/2006/relationships/hyperlink" Target="https://www.digikey.ca/short/2hpmh15d" TargetMode="External"/><Relationship Id="rId16" Type="http://schemas.openxmlformats.org/officeDocument/2006/relationships/hyperlink" Target="https://www.digikey.ca/short/9w7j8rzp" TargetMode="External"/><Relationship Id="rId5" Type="http://schemas.openxmlformats.org/officeDocument/2006/relationships/hyperlink" Target="https://www.digikey.ca/en/products/detail/gct/USB4105-GF-A-120/14559037?gclsrc=aw.ds&amp;gad_source=1&amp;gad_campaignid=17336435733&amp;gbraid=0AAAAADrbLljxe9E9_nkTDyKGSKwB0OKfj&amp;gclid=Cj0KCQjw2t3VBhD8ARIsAK0F6qxBPGiewSaZ55l_Lx9iIhIRNQn0H7Ybcc-UJkZVTPiccBxjVzor32UaAippEALw_wcB" TargetMode="External"/><Relationship Id="rId19" Type="http://schemas.openxmlformats.org/officeDocument/2006/relationships/hyperlink" Target="https://www.digikey.ca/short/qbbj23fh" TargetMode="External"/><Relationship Id="rId6" Type="http://schemas.openxmlformats.org/officeDocument/2006/relationships/hyperlink" Target="https://www.digikey.ca/en/products/detail/adam-tech/PH1-19-UA/9830407" TargetMode="External"/><Relationship Id="rId18" Type="http://schemas.openxmlformats.org/officeDocument/2006/relationships/hyperlink" Target="https://www.digikey.ca/short/f3bf70m5" TargetMode="External"/><Relationship Id="rId7" Type="http://schemas.openxmlformats.org/officeDocument/2006/relationships/hyperlink" Target="https://www.digikey.ca/en/products/detail/w-rth-elektronik/61300311121/4846825?gclsrc=aw.ds&amp;gad_source=1&amp;gad_campaignid=23152963569&amp;gbraid=0AAAAADrbLljJShZVHnZ09xtjwL5icjyXR&amp;gclid=Cj0KCQjw2t3VBhD8ARIsAK0F6qxeQpLrcmzMuX9M_lCIUzX0kDFECH9Mek6pUVK1RyB597u0TEDmofEaAl4sEALw_wcB" TargetMode="External"/><Relationship Id="rId8" Type="http://schemas.openxmlformats.org/officeDocument/2006/relationships/hyperlink" Target="https://www.digikey.ca/en/products/detail/kemet/C0402C104K4RAC7411/3317005?gclsrc=aw.ds&amp;gad_source=1&amp;gad_campaignid=17336435733&amp;gbraid=0AAAAADrbLljxe9E9_nkTDyKGSKwB0OKfj&amp;gclid=Cj0KCQjw2t3VBhD8ARIsAK0F6qxUc9LKLWBq4sVkIOXBavknru3oRrFi0GTo7hd619J5Ak9nryF9Y0waAmQh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9.75"/>
    <col customWidth="1" min="3" max="3" width="37.63"/>
    <col customWidth="1" min="4" max="4" width="14.88"/>
    <col customWidth="1" min="5" max="5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 t="s">
        <v>8</v>
      </c>
      <c r="D2" s="4">
        <v>1.0</v>
      </c>
      <c r="E2" s="4">
        <v>1.19</v>
      </c>
      <c r="F2" s="5">
        <f t="shared" ref="F2:F20" si="1">D2*E2</f>
        <v>1.19</v>
      </c>
    </row>
    <row r="3" ht="22.5" customHeight="1">
      <c r="A3" s="2" t="s">
        <v>9</v>
      </c>
      <c r="B3" s="2" t="s">
        <v>10</v>
      </c>
      <c r="C3" s="3" t="s">
        <v>11</v>
      </c>
      <c r="D3" s="4">
        <v>1.0</v>
      </c>
      <c r="E3" s="4">
        <v>3.14</v>
      </c>
      <c r="F3" s="5">
        <f t="shared" si="1"/>
        <v>3.14</v>
      </c>
    </row>
    <row r="4" ht="22.5" customHeight="1">
      <c r="A4" s="2" t="s">
        <v>12</v>
      </c>
      <c r="B4" s="2" t="s">
        <v>13</v>
      </c>
      <c r="C4" s="3" t="s">
        <v>14</v>
      </c>
      <c r="D4" s="4">
        <v>1.0</v>
      </c>
      <c r="E4" s="4">
        <v>6.11</v>
      </c>
      <c r="F4" s="5">
        <f t="shared" si="1"/>
        <v>6.11</v>
      </c>
    </row>
    <row r="5" ht="22.5" customHeight="1">
      <c r="A5" s="6">
        <v>8.30108206909E11</v>
      </c>
      <c r="B5" s="2" t="s">
        <v>15</v>
      </c>
      <c r="C5" s="3" t="s">
        <v>16</v>
      </c>
      <c r="D5" s="4">
        <v>1.0</v>
      </c>
      <c r="E5" s="4">
        <v>0.78</v>
      </c>
      <c r="F5" s="5">
        <f t="shared" si="1"/>
        <v>0.78</v>
      </c>
    </row>
    <row r="6" ht="22.5" customHeight="1">
      <c r="A6" s="1" t="s">
        <v>17</v>
      </c>
      <c r="B6" s="2" t="s">
        <v>18</v>
      </c>
      <c r="C6" s="3" t="s">
        <v>19</v>
      </c>
      <c r="D6" s="4">
        <v>1.0</v>
      </c>
      <c r="E6" s="4">
        <v>1.17</v>
      </c>
      <c r="F6" s="5">
        <f t="shared" si="1"/>
        <v>1.17</v>
      </c>
    </row>
    <row r="7" ht="22.5" customHeight="1">
      <c r="A7" s="1" t="s">
        <v>20</v>
      </c>
      <c r="B7" s="2" t="s">
        <v>21</v>
      </c>
      <c r="C7" s="3" t="s">
        <v>22</v>
      </c>
      <c r="D7" s="4">
        <v>2.0</v>
      </c>
      <c r="E7" s="4">
        <v>0.37</v>
      </c>
      <c r="F7" s="5">
        <f t="shared" si="1"/>
        <v>0.74</v>
      </c>
    </row>
    <row r="8" ht="22.5" customHeight="1">
      <c r="A8" s="1">
        <v>6.1300311121E10</v>
      </c>
      <c r="B8" s="2" t="s">
        <v>23</v>
      </c>
      <c r="C8" s="3" t="s">
        <v>24</v>
      </c>
      <c r="D8" s="4">
        <v>1.0</v>
      </c>
      <c r="E8" s="4">
        <v>0.19</v>
      </c>
      <c r="F8" s="5">
        <f t="shared" si="1"/>
        <v>0.19</v>
      </c>
    </row>
    <row r="9" ht="22.5" customHeight="1">
      <c r="A9" s="1" t="s">
        <v>25</v>
      </c>
      <c r="B9" s="2" t="s">
        <v>26</v>
      </c>
      <c r="C9" s="3" t="s">
        <v>27</v>
      </c>
      <c r="D9" s="4">
        <v>13.0</v>
      </c>
      <c r="E9" s="4">
        <v>0.138</v>
      </c>
      <c r="F9" s="5">
        <f t="shared" si="1"/>
        <v>1.794</v>
      </c>
    </row>
    <row r="10" ht="22.5" customHeight="1">
      <c r="A10" s="1" t="s">
        <v>28</v>
      </c>
      <c r="B10" s="2" t="s">
        <v>29</v>
      </c>
      <c r="C10" s="7" t="s">
        <v>30</v>
      </c>
      <c r="D10" s="4">
        <v>2.0</v>
      </c>
      <c r="E10" s="4">
        <v>0.19</v>
      </c>
      <c r="F10" s="5">
        <f t="shared" si="1"/>
        <v>0.38</v>
      </c>
    </row>
    <row r="11" ht="22.5" customHeight="1">
      <c r="A11" s="1" t="s">
        <v>31</v>
      </c>
      <c r="B11" s="2" t="s">
        <v>32</v>
      </c>
      <c r="C11" s="3" t="s">
        <v>33</v>
      </c>
      <c r="D11" s="4">
        <v>2.0</v>
      </c>
      <c r="E11" s="4">
        <v>0.47</v>
      </c>
      <c r="F11" s="5">
        <f t="shared" si="1"/>
        <v>0.94</v>
      </c>
    </row>
    <row r="12" ht="22.5" customHeight="1">
      <c r="A12" s="1" t="s">
        <v>34</v>
      </c>
      <c r="B12" s="2" t="s">
        <v>35</v>
      </c>
      <c r="C12" s="3" t="s">
        <v>36</v>
      </c>
      <c r="D12" s="4">
        <v>2.0</v>
      </c>
      <c r="E12" s="4">
        <v>0.19</v>
      </c>
      <c r="F12" s="5">
        <f t="shared" si="1"/>
        <v>0.38</v>
      </c>
    </row>
    <row r="13" ht="22.5" customHeight="1">
      <c r="A13" s="1" t="s">
        <v>37</v>
      </c>
      <c r="B13" s="2" t="s">
        <v>38</v>
      </c>
      <c r="C13" s="7" t="s">
        <v>39</v>
      </c>
      <c r="D13" s="4">
        <v>2.0</v>
      </c>
      <c r="E13" s="4">
        <v>0.16</v>
      </c>
      <c r="F13" s="5">
        <f t="shared" si="1"/>
        <v>0.32</v>
      </c>
    </row>
    <row r="14" ht="22.5" customHeight="1">
      <c r="A14" s="2" t="s">
        <v>40</v>
      </c>
      <c r="B14" s="2" t="s">
        <v>41</v>
      </c>
      <c r="C14" s="3" t="s">
        <v>42</v>
      </c>
      <c r="D14" s="4">
        <v>1.0</v>
      </c>
      <c r="E14" s="4">
        <v>0.16</v>
      </c>
      <c r="F14" s="5">
        <f t="shared" si="1"/>
        <v>0.16</v>
      </c>
    </row>
    <row r="15" ht="22.5" customHeight="1">
      <c r="A15" s="2" t="s">
        <v>43</v>
      </c>
      <c r="B15" s="2" t="s">
        <v>44</v>
      </c>
      <c r="C15" s="7" t="s">
        <v>45</v>
      </c>
      <c r="D15" s="4">
        <v>2.0</v>
      </c>
      <c r="E15" s="4">
        <v>0.16</v>
      </c>
      <c r="F15" s="5">
        <f t="shared" si="1"/>
        <v>0.32</v>
      </c>
    </row>
    <row r="16" ht="22.5" customHeight="1">
      <c r="A16" s="2" t="s">
        <v>46</v>
      </c>
      <c r="B16" s="2" t="s">
        <v>47</v>
      </c>
      <c r="C16" s="3" t="s">
        <v>48</v>
      </c>
      <c r="D16" s="4">
        <v>2.0</v>
      </c>
      <c r="E16" s="4">
        <v>0.16</v>
      </c>
      <c r="F16" s="5">
        <f t="shared" si="1"/>
        <v>0.32</v>
      </c>
    </row>
    <row r="17" ht="22.5" customHeight="1">
      <c r="A17" s="2" t="s">
        <v>49</v>
      </c>
      <c r="B17" s="2" t="s">
        <v>50</v>
      </c>
      <c r="C17" s="7" t="s">
        <v>51</v>
      </c>
      <c r="D17" s="4">
        <v>1.0</v>
      </c>
      <c r="E17" s="4">
        <v>0.16</v>
      </c>
      <c r="F17" s="5">
        <f t="shared" si="1"/>
        <v>0.16</v>
      </c>
    </row>
    <row r="18" ht="22.5" customHeight="1">
      <c r="A18" s="2" t="s">
        <v>52</v>
      </c>
      <c r="B18" s="2" t="s">
        <v>53</v>
      </c>
      <c r="C18" s="7" t="s">
        <v>54</v>
      </c>
      <c r="D18" s="4">
        <v>2.0</v>
      </c>
      <c r="E18" s="4">
        <v>0.16</v>
      </c>
      <c r="F18" s="5">
        <f t="shared" si="1"/>
        <v>0.32</v>
      </c>
    </row>
    <row r="19" ht="22.5" customHeight="1">
      <c r="A19" s="2" t="s">
        <v>55</v>
      </c>
      <c r="B19" s="2" t="s">
        <v>56</v>
      </c>
      <c r="C19" s="3" t="s">
        <v>57</v>
      </c>
      <c r="D19" s="4">
        <v>1.0</v>
      </c>
      <c r="E19" s="4">
        <v>0.39</v>
      </c>
      <c r="F19" s="5">
        <f t="shared" si="1"/>
        <v>0.39</v>
      </c>
    </row>
    <row r="20" ht="22.5" customHeight="1">
      <c r="A20" s="2" t="s">
        <v>58</v>
      </c>
      <c r="B20" s="2" t="s">
        <v>59</v>
      </c>
      <c r="C20" s="3" t="s">
        <v>60</v>
      </c>
      <c r="D20" s="4">
        <v>1.0</v>
      </c>
      <c r="E20" s="4">
        <v>1.83</v>
      </c>
      <c r="F20" s="5">
        <f t="shared" si="1"/>
        <v>1.83</v>
      </c>
    </row>
    <row r="21" ht="22.5" customHeight="1">
      <c r="A21" s="2" t="s">
        <v>61</v>
      </c>
      <c r="B21" s="2" t="s">
        <v>62</v>
      </c>
      <c r="D21" s="4">
        <v>1.0</v>
      </c>
      <c r="E21" s="4">
        <v>2.1</v>
      </c>
      <c r="F21" s="4">
        <v>2.1</v>
      </c>
    </row>
    <row r="22" ht="22.5" customHeight="1">
      <c r="D22" s="5"/>
      <c r="E22" s="2" t="s">
        <v>63</v>
      </c>
      <c r="F22" s="5">
        <f>SUM(F2:F21)</f>
        <v>22.734</v>
      </c>
    </row>
    <row r="23" ht="22.5" customHeight="1">
      <c r="D23" s="5"/>
      <c r="E23" s="2" t="s">
        <v>64</v>
      </c>
      <c r="F23" s="5">
        <f>SUM(F22*1.12)</f>
        <v>25.46208</v>
      </c>
    </row>
    <row r="24" ht="22.5" customHeight="1">
      <c r="D24" s="5"/>
      <c r="E24" s="2" t="s">
        <v>65</v>
      </c>
      <c r="F24" s="4">
        <v>16.5</v>
      </c>
    </row>
    <row r="25" ht="22.5" customHeight="1">
      <c r="D25" s="5"/>
      <c r="E25" s="2" t="s">
        <v>66</v>
      </c>
      <c r="F25" s="5">
        <f>SUM(F23:F24)</f>
        <v>41.96208</v>
      </c>
    </row>
  </sheetData>
  <dataValidations>
    <dataValidation type="custom" allowBlank="1" showDropDown="1" sqref="D2:F25">
      <formula1>AND(ISNUMBER(D2),(NOT(OR(NOT(ISERROR(DATEVALUE(D2))), AND(ISNUMBER(D2), LEFT(CELL("format", D2))="D")))))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  <tableParts count="1">
    <tablePart r:id="rId22"/>
  </tableParts>
</worksheet>
</file>